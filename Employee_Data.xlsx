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orksheets/sheet6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 defaultThemeVersion="153222"/>
  <bookViews>
    <workbookView xWindow="0" yWindow="0" windowWidth="0" windowHeight="0" activeTab="0"/>
  </bookViews>
  <sheets>
    <sheet name="Employee Data" sheetId="1" r:id="rId1"/>
    <sheet name="Departments" sheetId="2" r:id="rId2"/>
    <sheet name="Lookup" sheetId="3" r:id="rId3"/>
    <sheet name="KPI" sheetId="4" r:id="rId4"/>
    <sheet name="Dashboard " sheetId="5" r:id="rId5"/>
    <sheet name="Business Analysis " sheetId="6" r:id="rId6"/>
  </sheets>
  <definedNames>
    <definedName name="_xlnm._FilterDatabase" localSheetId="0" hidden="1">'Employee Data'!$C$14:$D$24</definedName>
  </definedNames>
  <calcPr fullCalcOnLoad="1" calcId="124519"/>
</workbook>
</file>

<file path=xl/sharedStrings.xml><?xml version="1.0" encoding="utf-8"?>
<sst xmlns="http://schemas.openxmlformats.org/spreadsheetml/2006/main" uniqueCount="76" count="76">
  <si>
    <t>Employee ID</t>
  </si>
  <si>
    <t>Name</t>
  </si>
  <si>
    <t>Department</t>
  </si>
  <si>
    <t>Salary</t>
  </si>
  <si>
    <t>Age</t>
  </si>
  <si>
    <t>John</t>
  </si>
  <si>
    <t>Sales</t>
  </si>
  <si>
    <t>Mary</t>
  </si>
  <si>
    <t>HR</t>
  </si>
  <si>
    <t>Peter</t>
  </si>
  <si>
    <t>IT</t>
  </si>
  <si>
    <t>Grace</t>
  </si>
  <si>
    <t>Finance</t>
  </si>
  <si>
    <t>David</t>
  </si>
  <si>
    <t>Sarah</t>
  </si>
  <si>
    <t>James</t>
  </si>
  <si>
    <t>Linda</t>
  </si>
  <si>
    <t>Michael</t>
  </si>
  <si>
    <t>Esther</t>
  </si>
  <si>
    <t>sum(</t>
  </si>
  <si>
    <t>sum(d2:d11)</t>
  </si>
  <si>
    <t>sum(D2:D11)</t>
  </si>
  <si>
    <t>salary level</t>
  </si>
  <si>
    <t>High</t>
  </si>
  <si>
    <t>Low</t>
  </si>
  <si>
    <t>Grand Total</t>
  </si>
  <si>
    <t>Total</t>
  </si>
  <si>
    <t>Count of Employee ID</t>
  </si>
  <si>
    <t xml:space="preserve">employee count by department </t>
  </si>
  <si>
    <t>Sum of Salary</t>
  </si>
  <si>
    <t>salary sum</t>
  </si>
  <si>
    <t>Average of Salary</t>
  </si>
  <si>
    <t xml:space="preserve">average salary </t>
  </si>
  <si>
    <t xml:space="preserve">Department </t>
  </si>
  <si>
    <t>manager</t>
  </si>
  <si>
    <t>sales</t>
  </si>
  <si>
    <t xml:space="preserve">Finance </t>
  </si>
  <si>
    <t>Susan</t>
  </si>
  <si>
    <t xml:space="preserve">Michael </t>
  </si>
  <si>
    <t xml:space="preserve">Manager </t>
  </si>
  <si>
    <t>C5</t>
  </si>
  <si>
    <t xml:space="preserve">Susan </t>
  </si>
  <si>
    <t xml:space="preserve">David </t>
  </si>
  <si>
    <t>search id</t>
  </si>
  <si>
    <t>employee name</t>
  </si>
  <si>
    <t xml:space="preserve">Total employee </t>
  </si>
  <si>
    <t xml:space="preserve">Average salary </t>
  </si>
  <si>
    <t xml:space="preserve">Highest salary </t>
  </si>
  <si>
    <t>A</t>
  </si>
  <si>
    <t>B</t>
  </si>
  <si>
    <t xml:space="preserve">Employee dashboard </t>
  </si>
  <si>
    <t xml:space="preserve">Average of Salary by department </t>
  </si>
  <si>
    <t xml:space="preserve">Total Employee </t>
  </si>
  <si>
    <t xml:space="preserve">Average Salary </t>
  </si>
  <si>
    <t xml:space="preserve">Highest Salary </t>
  </si>
  <si>
    <t xml:space="preserve">Lowest Salary </t>
  </si>
  <si>
    <t xml:space="preserve">DASHBOARD </t>
  </si>
  <si>
    <t xml:space="preserve">                                                              DASHBOARD </t>
  </si>
  <si>
    <t>Answer: Department with the highest employees is IT and sales, with e employees each</t>
  </si>
  <si>
    <t>Answer: Department with the highest average salary is IT which has an average salary of ₦71666.66667</t>
  </si>
  <si>
    <t xml:space="preserve">                     Age</t>
  </si>
  <si>
    <t xml:space="preserve">Oldest </t>
  </si>
  <si>
    <t>Average age</t>
  </si>
  <si>
    <t xml:space="preserve">Youngest </t>
  </si>
  <si>
    <t xml:space="preserve">Count of Employees </t>
  </si>
  <si>
    <t>susan</t>
  </si>
  <si>
    <t xml:space="preserve">Grand Total </t>
  </si>
  <si>
    <t xml:space="preserve">Answer: The manager that manage the highest number of employees is Michael </t>
  </si>
  <si>
    <t xml:space="preserve">Executive Summary </t>
  </si>
  <si>
    <t>IT and Sales each have the highest number of employees, with 3 employees.</t>
  </si>
  <si>
    <t>IT has the highest average salary at ₦71,666.67.</t>
  </si>
  <si>
    <t>Three employees earn more than ₦60,000.</t>
  </si>
  <si>
    <t xml:space="preserve">Recommendations </t>
  </si>
  <si>
    <t>Based on this analysis, management may review the Sales department's salary structure to improve employee compensation.</t>
  </si>
  <si>
    <t xml:space="preserve">Business Analysis </t>
  </si>
  <si>
    <t xml:space="preserve">                                Business Analysis </t>
  </si>
</sst>
</file>

<file path=xl/styles.xml><?xml version="1.0" encoding="utf-8"?>
<styleSheet xmlns="http://schemas.openxmlformats.org/spreadsheetml/2006/main">
  <numFmts count="2">
    <numFmt numFmtId="0" formatCode="General"/>
    <numFmt numFmtId="3" formatCode="#,##0"/>
  </numFmts>
  <fonts count="11">
    <font>
      <name val="Calibri"/>
      <sz val="11"/>
    </font>
    <font>
      <name val="Calibri"/>
      <b/>
      <sz val="11"/>
    </font>
    <font>
      <name val="Calibri"/>
      <sz val="11"/>
      <color rgb="FF000000"/>
    </font>
    <font>
      <name val="Calibri"/>
      <b/>
      <sz val="11"/>
      <color rgb="FF36363D"/>
    </font>
    <font>
      <name val="Calibri"/>
      <sz val="11"/>
      <color rgb="FF36363D"/>
    </font>
    <font>
      <name val="Calibri"/>
      <b/>
      <sz val="11"/>
      <color rgb="FF000000"/>
    </font>
    <font>
      <name val="Calibri"/>
      <sz val="11"/>
      <color rgb="FFFFFFFF"/>
    </font>
    <font>
      <name val="Calibri"/>
      <sz val="11"/>
      <color rgb="FF000000"/>
    </font>
    <font>
      <name val="Calibri"/>
      <sz val="11"/>
      <color rgb="FFFFFFFF"/>
    </font>
    <font>
      <name val="Calibri"/>
      <sz val="11"/>
      <color rgb="FF000000"/>
    </font>
    <font>
      <name val="Calibri"/>
      <sz val="11"/>
    </font>
  </fonts>
  <fills count="7">
    <fill>
      <patternFill patternType="none"/>
    </fill>
    <fill>
      <patternFill patternType="gray125"/>
    </fill>
    <fill>
      <patternFill patternType="solid">
        <fgColor rgb="FF3399FF"/>
      </patternFill>
    </fill>
    <fill>
      <patternFill patternType="solid">
        <fgColor rgb="FF99CCFF"/>
      </patternFill>
    </fill>
    <fill>
      <patternFill patternType="solid">
        <fgColor rgb="FFD0D8E8"/>
      </patternFill>
    </fill>
    <fill>
      <patternFill patternType="solid">
        <fgColor rgb="FF4F81BD"/>
      </patternFill>
    </fill>
    <fill>
      <patternFill patternType="solid">
        <fgColor rgb="FFE9EDF4"/>
      </patternFill>
    </fill>
  </fills>
  <borders count="11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1" xfId="0" applyAlignment="1">
      <alignment horizontal="center" vertical="bottom"/>
    </xf>
    <xf numFmtId="0" fontId="1" fillId="0" borderId="0" xfId="0" applyFont="1">
      <alignment vertical="center"/>
    </xf>
    <xf numFmtId="0" fontId="2" fillId="0" borderId="1" xfId="0" applyAlignment="1">
      <alignment vertical="bottom"/>
    </xf>
    <xf numFmtId="3" fontId="2" fillId="0" borderId="1" xfId="0" applyAlignment="1">
      <alignment vertical="bottom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4" fillId="3" borderId="4" xfId="0" applyFont="1" applyFill="1" applyBorder="1">
      <alignment vertical="center"/>
    </xf>
    <xf numFmtId="0" fontId="4" fillId="3" borderId="5" xfId="0" applyFont="1" applyFill="1" applyBorder="1">
      <alignment vertical="center"/>
    </xf>
    <xf numFmtId="0" fontId="4" fillId="3" borderId="6" xfId="0" applyFont="1" applyFill="1" applyBorder="1">
      <alignment vertical="center"/>
    </xf>
    <xf numFmtId="0" fontId="4" fillId="3" borderId="7" xfId="0" applyFont="1" applyFill="1" applyBorder="1">
      <alignment vertical="center"/>
    </xf>
    <xf numFmtId="0" fontId="5" fillId="4" borderId="8" xfId="0" applyFont="1" applyFill="1" applyBorder="1">
      <alignment vertical="center"/>
    </xf>
    <xf numFmtId="0" fontId="6" fillId="5" borderId="8" xfId="0" applyFont="1" applyFill="1" applyBorder="1">
      <alignment vertical="center"/>
    </xf>
    <xf numFmtId="0" fontId="7" fillId="4" borderId="8" xfId="0" applyFont="1" applyFill="1" applyBorder="1">
      <alignment vertical="center"/>
    </xf>
    <xf numFmtId="0" fontId="7" fillId="6" borderId="8" xfId="0" applyFont="1" applyFill="1" applyBorder="1">
      <alignment vertical="center"/>
    </xf>
    <xf numFmtId="0" fontId="1" fillId="0" borderId="0" xfId="0" applyFont="1" applyBorder="1">
      <alignment vertical="center"/>
    </xf>
    <xf numFmtId="0" fontId="1" fillId="3" borderId="9" xfId="0" applyFont="1" applyFill="1" applyBorder="1">
      <alignment vertical="center"/>
    </xf>
    <xf numFmtId="0" fontId="1" fillId="0" borderId="10" xfId="0" applyFont="1" applyBorder="1">
      <alignment vertical="center"/>
    </xf>
    <xf numFmtId="0" fontId="8" fillId="5" borderId="8" xfId="0" applyFont="1" applyFill="1" applyBorder="1">
      <alignment vertical="center"/>
    </xf>
    <xf numFmtId="0" fontId="9" fillId="4" borderId="8" xfId="0" applyFont="1" applyFill="1" applyBorder="1">
      <alignment vertical="center"/>
    </xf>
    <xf numFmtId="0" fontId="9" fillId="6" borderId="8" xfId="0" applyFont="1" applyFill="1" applyBorder="1">
      <alignment vertical="center"/>
    </xf>
    <xf numFmtId="0" fontId="10" fillId="0" borderId="0" xfId="0" applyBorder="1">
      <alignment vertical="center"/>
    </xf>
    <xf numFmtId="0" fontId="1" fillId="2" borderId="9" xfId="0" applyFill="1" applyBorder="1" applyAlignment="1">
      <alignment horizontal="center" vertical="bottom"/>
    </xf>
    <xf numFmtId="0" fontId="2" fillId="3" borderId="9" xfId="0" applyFill="1" applyBorder="1" applyAlignment="1">
      <alignment vertical="bottom"/>
    </xf>
    <xf numFmtId="3" fontId="2" fillId="3" borderId="9" xfId="0" applyFill="1" applyBorder="1" applyAlignment="1">
      <alignment vertical="bottom"/>
    </xf>
    <xf numFmtId="0" fontId="1" fillId="2" borderId="9" xfId="0" applyFont="1" applyFill="1" applyBorder="1">
      <alignment vertical="center"/>
    </xf>
  </cellXfs>
  <cellStyles count="1">
    <cellStyle name="常规" xfId="0" builtinId="0"/>
  </cellStyles>
  <dxfs count="4">
    <dxf>
      <font>
        <color rgb="FF204904"/>
      </font>
      <fill>
        <patternFill patternType="solid">
          <fgColor indexed="0"/>
          <bgColor rgb="FF70AD47"/>
        </patternFill>
      </fill>
    </dxf>
    <dxf>
      <font>
        <color rgb="FF204904"/>
      </font>
      <fill>
        <patternFill patternType="solid">
          <fgColor indexed="0"/>
          <bgColor rgb="FF70AD47"/>
        </patternFill>
      </fill>
    </dxf>
    <dxf>
      <font>
        <color rgb="FF977503"/>
      </font>
      <fill>
        <patternFill patternType="solid">
          <fgColor rgb="FFD0D8E8"/>
          <bgColor rgb="FFF9E911"/>
        </patternFill>
      </fill>
    </dxf>
    <dxf>
      <font>
        <color rgb="FF204904"/>
      </font>
      <fill>
        <patternFill patternType="solid">
          <fgColor indexed="0"/>
          <bgColor rgb="FF70AD47"/>
        </patternFill>
      </fill>
    </dxf>
  </dxfs>
  <tableStyles defaultTableStyle="TableStyleMedium9" defaultPivotStyle="PivotStyleLight16"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www.wps.cn/officeDocument/2020/cellImage" Target="cellimages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</file>

<file path=xl/charts/_rels/chart1.xml.rels><?xml version="1.0" encoding="UTF-8" standalone="yes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Salary distributed by employees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'Employee Data'!$A$14</c:f>
              <c:strCache>
                <c:ptCount val="1"/>
                <c:pt idx="0">
                  <c:v>Employee ID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'Employee Data'!$A$15:$A$24</c:f>
              <c:numCache>
                <c:formatCode>General</c:formatCode>
                <c:ptCount val="10"/>
                <c:pt idx="0">
                  <c:v>101.0</c:v>
                </c:pt>
                <c:pt idx="1">
                  <c:v>102.0</c:v>
                </c:pt>
                <c:pt idx="2">
                  <c:v>103.0</c:v>
                </c:pt>
                <c:pt idx="3">
                  <c:v>104.0</c:v>
                </c:pt>
                <c:pt idx="4">
                  <c:v>105.0</c:v>
                </c:pt>
                <c:pt idx="5">
                  <c:v>106.0</c:v>
                </c:pt>
                <c:pt idx="6">
                  <c:v>107.0</c:v>
                </c:pt>
                <c:pt idx="7">
                  <c:v>108.0</c:v>
                </c:pt>
                <c:pt idx="8">
                  <c:v>109.0</c:v>
                </c:pt>
                <c:pt idx="9">
                  <c:v>110.0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'Employee Data'!$B$14</c:f>
              <c:strCache>
                <c:ptCount val="1"/>
                <c:pt idx="0">
                  <c:v>Salary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'Employee Data'!$B$15:$B$24</c:f>
              <c:numCache>
                <c:formatCode>#,##0</c:formatCode>
                <c:ptCount val="10"/>
                <c:pt idx="0">
                  <c:v>45000.0</c:v>
                </c:pt>
                <c:pt idx="1">
                  <c:v>52000.0</c:v>
                </c:pt>
                <c:pt idx="2">
                  <c:v>68000.0</c:v>
                </c:pt>
                <c:pt idx="3">
                  <c:v>60000.0</c:v>
                </c:pt>
                <c:pt idx="4">
                  <c:v>47000.0</c:v>
                </c:pt>
                <c:pt idx="5">
                  <c:v>72000.0</c:v>
                </c:pt>
                <c:pt idx="6">
                  <c:v>50000.0</c:v>
                </c:pt>
                <c:pt idx="7">
                  <c:v>58000.0</c:v>
                </c:pt>
                <c:pt idx="8">
                  <c:v>75000.0</c:v>
                </c:pt>
                <c:pt idx="9">
                  <c:v>49000.0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984937"/>
        <c:axId val="291096229"/>
      </c:lineChart>
      <c:catAx>
        <c:axId val="779849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1096229"/>
        <c:crosses val="autoZero"/>
        <c:auto val="1"/>
        <c:lblAlgn val="ctr"/>
        <c:lblOffset val="100"/>
        <c:noMultiLvlLbl val="0"/>
      </c:catAx>
      <c:valAx>
        <c:axId val="2910962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849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Salary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KPI!$B$8:$B$9</c:f>
              <c:strCache>
                <c:ptCount val="2"/>
                <c:pt idx="1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KPI!$A$10:$A$13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KPI!$B$10:$B$13</c:f>
              <c:numCache>
                <c:formatCode>General</c:formatCode>
                <c:ptCount val="4"/>
                <c:pt idx="0">
                  <c:v>59000.0</c:v>
                </c:pt>
                <c:pt idx="1">
                  <c:v>51000.0</c:v>
                </c:pt>
                <c:pt idx="2">
                  <c:v>71666.6666666667</c:v>
                </c:pt>
                <c:pt idx="3">
                  <c:v>47000.0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68571341"/>
        <c:axId val="517635520"/>
      </c:barChart>
      <c:catAx>
        <c:axId val="36857134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7635520"/>
        <c:crosses val="autoZero"/>
        <c:auto val="1"/>
        <c:lblAlgn val="ctr"/>
        <c:lblOffset val="100"/>
        <c:noMultiLvlLbl val="0"/>
      </c:catAx>
      <c:valAx>
        <c:axId val="51763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857134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'!$D$4:$D$7</c:f>
              <c:strCache>
                <c:ptCount val="4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Sales</c:v>
                </c:pt>
              </c:strCache>
            </c:strRef>
          </c:cat>
          <c:val>
            <c:numRef>
              <c:f>'Dashboard '!$E$4:$E$7</c:f>
              <c:numCache>
                <c:formatCode>General</c:formatCode>
                <c:ptCount val="4"/>
                <c:pt idx="0">
                  <c:v>59000.0</c:v>
                </c:pt>
                <c:pt idx="1">
                  <c:v>51000.0</c:v>
                </c:pt>
                <c:pt idx="2">
                  <c:v>71666.6666666667</c:v>
                </c:pt>
                <c:pt idx="3">
                  <c:v>47000.0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9348975"/>
        <c:axId val="595068290"/>
      </c:barChart>
      <c:catAx>
        <c:axId val="819348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5068290"/>
        <c:crosses val="autoZero"/>
        <c:auto val="1"/>
        <c:lblAlgn val="ctr"/>
        <c:lblOffset val="100"/>
        <c:noMultiLvlLbl val="0"/>
      </c:catAx>
      <c:valAx>
        <c:axId val="59506829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9348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28</xdr:row>
      <xdr:rowOff>75902</xdr:rowOff>
    </xdr:from>
    <xdr:to>
      <xdr:col>3</xdr:col>
      <xdr:colOff>1317498</xdr:colOff>
      <xdr:row>44</xdr:row>
      <xdr:rowOff>0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4</xdr:col>
      <xdr:colOff>348288</xdr:colOff>
      <xdr:row>31</xdr:row>
      <xdr:rowOff>0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683390</xdr:colOff>
      <xdr:row>10</xdr:row>
      <xdr:rowOff>0</xdr:rowOff>
    </xdr:from>
    <xdr:to>
      <xdr:col>5</xdr:col>
      <xdr:colOff>337524</xdr:colOff>
      <xdr:row>25</xdr:row>
      <xdr:rowOff>0</xdr:rowOff>
    </xdr:to>
    <xdr:graphicFrame macro="">
      <xdr:nvGraphicFramePr>
        <xdr:cNvPr name="图表 1" id="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7"/>
  <sheetViews>
    <sheetView tabSelected="1" workbookViewId="0" topLeftCell="C1" zoomScale="54">
      <selection activeCell="G11" sqref="A1:G11"/>
    </sheetView>
  </sheetViews>
  <sheetFormatPr defaultRowHeight="15.0" defaultColWidth="10"/>
  <cols>
    <col min="1" max="1" customWidth="1" width="18.0" style="0"/>
    <col min="2" max="2" customWidth="1" width="18.0" style="0"/>
    <col min="3" max="3" customWidth="1" width="18.0" style="0"/>
    <col min="4" max="4" customWidth="1" width="18.0" style="0"/>
    <col min="5" max="5" customWidth="1" width="18.0" style="0"/>
  </cols>
  <sheetData>
    <row r="1" spans="8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22</v>
      </c>
      <c r="G1" s="2" t="s">
        <v>39</v>
      </c>
    </row>
    <row r="2" spans="8:8" ht="15.35">
      <c r="A2" s="3">
        <v>101.0</v>
      </c>
      <c r="B2" s="3" t="s">
        <v>5</v>
      </c>
      <c r="C2" s="3" t="s">
        <v>6</v>
      </c>
      <c r="D2" s="4">
        <v>45000.0</v>
      </c>
      <c r="E2" s="3">
        <v>28.0</v>
      </c>
      <c r="F2" t="s">
        <v>24</v>
      </c>
      <c r="G2" t="str">
        <f>VLOOKUP(C2,Departments!A:B,2,FALSE)</f>
        <v>David</v>
      </c>
    </row>
    <row r="3" spans="8:8" ht="15.35">
      <c r="A3" s="3">
        <v>102.0</v>
      </c>
      <c r="B3" s="3" t="s">
        <v>7</v>
      </c>
      <c r="C3" s="3" t="s">
        <v>8</v>
      </c>
      <c r="D3" s="4">
        <v>52000.0</v>
      </c>
      <c r="E3" s="3">
        <v>35.0</v>
      </c>
      <c r="F3" t="str">
        <f>IF(D2:D11&gt;=60000,"High","Low")</f>
        <v>Low</v>
      </c>
      <c r="G3" t="str">
        <f>VLOOKUP(C3,Departments!A:B,2,FALSE)</f>
        <v>Susan</v>
      </c>
    </row>
    <row r="4" spans="8:8" ht="15.35">
      <c r="A4" s="3">
        <v>103.0</v>
      </c>
      <c r="B4" s="3" t="s">
        <v>9</v>
      </c>
      <c r="C4" s="3" t="s">
        <v>10</v>
      </c>
      <c r="D4" s="4">
        <v>68000.0</v>
      </c>
      <c r="E4" s="3">
        <v>41.0</v>
      </c>
      <c r="F4" t="str">
        <f>IF(D4&gt;=60000,"High","Low")</f>
        <v>High</v>
      </c>
      <c r="G4" t="str">
        <f>VLOOKUP(C4,Departments!A:B,2,FALSE)</f>
        <v>Michael </v>
      </c>
    </row>
    <row r="5" spans="8:8" ht="15.2">
      <c r="A5" s="3">
        <v>104.0</v>
      </c>
      <c r="B5" s="3" t="s">
        <v>11</v>
      </c>
      <c r="C5" s="3" t="s">
        <v>12</v>
      </c>
      <c r="D5" s="4">
        <v>60000.0</v>
      </c>
      <c r="E5" s="3">
        <v>39.0</v>
      </c>
      <c r="F5" t="str">
        <f>IF(D4:D11&gt;=60000,"High","Low")</f>
        <v>High</v>
      </c>
      <c r="G5" t="s">
        <v>11</v>
      </c>
    </row>
    <row r="6" spans="8:8" ht="15.2">
      <c r="A6" s="3">
        <v>105.0</v>
      </c>
      <c r="B6" s="3" t="s">
        <v>13</v>
      </c>
      <c r="C6" s="3" t="s">
        <v>6</v>
      </c>
      <c r="D6" s="4">
        <v>47000.0</v>
      </c>
      <c r="E6" s="3">
        <v>30.0</v>
      </c>
      <c r="F6" t="str">
        <f>IF(D6:D11&gt;=60000,"High","Low")</f>
        <v>Low</v>
      </c>
      <c r="G6" t="s">
        <v>13</v>
      </c>
    </row>
    <row r="7" spans="8:8" ht="15.2">
      <c r="A7" s="3">
        <v>106.0</v>
      </c>
      <c r="B7" s="3" t="s">
        <v>14</v>
      </c>
      <c r="C7" s="3" t="s">
        <v>10</v>
      </c>
      <c r="D7" s="4">
        <v>72000.0</v>
      </c>
      <c r="E7" s="3">
        <v>45.0</v>
      </c>
      <c r="F7" t="s">
        <v>23</v>
      </c>
      <c r="G7" t="s">
        <v>38</v>
      </c>
    </row>
    <row r="8" spans="8:8" ht="15.2">
      <c r="A8" s="3">
        <v>107.0</v>
      </c>
      <c r="B8" s="3" t="s">
        <v>15</v>
      </c>
      <c r="C8" s="3" t="s">
        <v>8</v>
      </c>
      <c r="D8" s="4">
        <v>50000.0</v>
      </c>
      <c r="E8" s="3">
        <v>33.0</v>
      </c>
      <c r="F8" t="s">
        <v>24</v>
      </c>
      <c r="G8" t="s">
        <v>41</v>
      </c>
    </row>
    <row r="9" spans="8:8" ht="15.2">
      <c r="A9" s="3">
        <v>108.0</v>
      </c>
      <c r="B9" s="3" t="s">
        <v>16</v>
      </c>
      <c r="C9" s="3" t="s">
        <v>12</v>
      </c>
      <c r="D9" s="4">
        <v>58000.0</v>
      </c>
      <c r="E9" s="3">
        <v>37.0</v>
      </c>
      <c r="F9" t="s">
        <v>24</v>
      </c>
      <c r="G9" t="s">
        <v>11</v>
      </c>
    </row>
    <row r="10" spans="8:8" ht="15.2">
      <c r="A10" s="3">
        <v>109.0</v>
      </c>
      <c r="B10" s="3" t="s">
        <v>17</v>
      </c>
      <c r="C10" s="3" t="s">
        <v>10</v>
      </c>
      <c r="D10" s="4">
        <v>75000.0</v>
      </c>
      <c r="E10" s="3">
        <v>48.0</v>
      </c>
      <c r="F10" t="s">
        <v>23</v>
      </c>
      <c r="G10" t="s">
        <v>38</v>
      </c>
    </row>
    <row r="11" spans="8:8" ht="15.2">
      <c r="A11" s="3">
        <v>110.0</v>
      </c>
      <c r="B11" s="3" t="s">
        <v>18</v>
      </c>
      <c r="C11" s="3" t="s">
        <v>6</v>
      </c>
      <c r="D11" s="4">
        <v>49000.0</v>
      </c>
      <c r="E11" s="3">
        <v>31.0</v>
      </c>
      <c r="F11" t="s">
        <v>24</v>
      </c>
      <c r="G11" t="s">
        <v>42</v>
      </c>
    </row>
    <row r="14" spans="8:8">
      <c r="A14" s="1" t="s">
        <v>0</v>
      </c>
      <c r="B14" s="1" t="s">
        <v>3</v>
      </c>
    </row>
    <row r="15" spans="8:8" ht="15.65">
      <c r="A15" s="3">
        <v>101.0</v>
      </c>
      <c r="B15" s="4">
        <v>45000.0</v>
      </c>
    </row>
    <row r="16" spans="8:8" ht="15.65">
      <c r="A16" s="3">
        <v>102.0</v>
      </c>
      <c r="B16" s="4">
        <v>52000.0</v>
      </c>
    </row>
    <row r="17" spans="8:8" ht="15.65">
      <c r="A17" s="3">
        <v>103.0</v>
      </c>
      <c r="B17" s="4">
        <v>68000.0</v>
      </c>
    </row>
    <row r="18" spans="8:8" ht="15.65">
      <c r="A18" s="3">
        <v>104.0</v>
      </c>
      <c r="B18" s="4">
        <v>60000.0</v>
      </c>
    </row>
    <row r="19" spans="8:8" ht="15.65">
      <c r="A19" s="3">
        <v>105.0</v>
      </c>
      <c r="B19" s="4">
        <v>47000.0</v>
      </c>
    </row>
    <row r="20" spans="8:8" ht="15.65">
      <c r="A20" s="3">
        <v>106.0</v>
      </c>
      <c r="B20" s="4">
        <v>72000.0</v>
      </c>
    </row>
    <row r="21" spans="8:8" ht="15.65">
      <c r="A21" s="3">
        <v>107.0</v>
      </c>
      <c r="B21" s="4">
        <v>50000.0</v>
      </c>
    </row>
    <row r="22" spans="8:8" ht="22.2">
      <c r="A22" s="3">
        <v>108.0</v>
      </c>
      <c r="B22" s="4">
        <v>58000.0</v>
      </c>
    </row>
    <row r="23" spans="8:8" ht="15.65">
      <c r="A23" s="3">
        <v>109.0</v>
      </c>
      <c r="B23" s="4">
        <v>75000.0</v>
      </c>
    </row>
    <row r="24" spans="8:8" ht="22.2">
      <c r="A24" s="3">
        <v>110.0</v>
      </c>
      <c r="B24" s="4">
        <v>49000.0</v>
      </c>
    </row>
    <row r="27" spans="8:8">
      <c r="D27"/>
    </row>
  </sheetData>
  <conditionalFormatting sqref="B1:B11">
    <cfRule type="duplicateValues" priority="1" dxfId="0"/>
  </conditionalFormatting>
  <pageMargins left="0.75" right="0.75" top="1.0" bottom="1.0" header="0.5" footer="0.5"/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N5"/>
  <sheetViews>
    <sheetView workbookViewId="0">
      <selection activeCell="C14" sqref="C14"/>
    </sheetView>
  </sheetViews>
  <sheetFormatPr defaultRowHeight="16.25" defaultColWidth="10"/>
  <cols>
    <col min="1" max="1" customWidth="1" width="10.691406" style="0"/>
  </cols>
  <sheetData>
    <row r="1" spans="8:8">
      <c r="A1" s="2" t="s">
        <v>33</v>
      </c>
      <c r="B1" s="2" t="s">
        <v>34</v>
      </c>
    </row>
    <row r="2" spans="8:8">
      <c r="A2" t="s">
        <v>35</v>
      </c>
      <c r="B2" t="s">
        <v>13</v>
      </c>
    </row>
    <row r="3" spans="8:8">
      <c r="A3" t="s">
        <v>8</v>
      </c>
      <c r="B3" t="s">
        <v>37</v>
      </c>
    </row>
    <row r="4" spans="8:8">
      <c r="A4" t="s">
        <v>10</v>
      </c>
      <c r="B4" t="s">
        <v>38</v>
      </c>
    </row>
    <row r="5" spans="8:8">
      <c r="A5" t="s">
        <v>36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N16"/>
  <sheetViews>
    <sheetView workbookViewId="0">
      <selection activeCell="B25" sqref="A19:B25"/>
    </sheetView>
  </sheetViews>
  <sheetFormatPr defaultRowHeight="16.25" defaultColWidth="10"/>
  <cols>
    <col min="1" max="1" customWidth="1" width="12.8125" style="0"/>
    <col min="2" max="2" customWidth="1" width="17.941406" style="0"/>
  </cols>
  <sheetData>
    <row r="1" spans="8:8">
      <c r="A1" s="1" t="s">
        <v>0</v>
      </c>
      <c r="B1" s="1" t="s">
        <v>1</v>
      </c>
    </row>
    <row r="2" spans="8:8">
      <c r="A2" s="3">
        <v>101.0</v>
      </c>
      <c r="B2" s="3" t="s">
        <v>5</v>
      </c>
    </row>
    <row r="3" spans="8:8">
      <c r="A3" s="3">
        <v>102.0</v>
      </c>
      <c r="B3" s="3" t="s">
        <v>7</v>
      </c>
    </row>
    <row r="4" spans="8:8">
      <c r="A4" s="3">
        <v>103.0</v>
      </c>
      <c r="B4" s="3" t="s">
        <v>9</v>
      </c>
    </row>
    <row r="5" spans="8:8">
      <c r="A5" s="3">
        <v>104.0</v>
      </c>
      <c r="B5" s="3" t="s">
        <v>11</v>
      </c>
    </row>
    <row r="6" spans="8:8">
      <c r="A6" s="3">
        <v>105.0</v>
      </c>
      <c r="B6" s="3" t="s">
        <v>13</v>
      </c>
    </row>
    <row r="7" spans="8:8">
      <c r="A7" s="3">
        <v>106.0</v>
      </c>
      <c r="B7" s="3" t="s">
        <v>14</v>
      </c>
    </row>
    <row r="8" spans="8:8">
      <c r="A8" s="3">
        <v>107.0</v>
      </c>
      <c r="B8" s="3" t="s">
        <v>15</v>
      </c>
    </row>
    <row r="9" spans="8:8">
      <c r="A9" s="3">
        <v>108.0</v>
      </c>
      <c r="B9" s="3" t="s">
        <v>16</v>
      </c>
    </row>
    <row r="10" spans="8:8">
      <c r="A10" s="3">
        <v>109.0</v>
      </c>
      <c r="B10" s="3" t="s">
        <v>17</v>
      </c>
    </row>
    <row r="11" spans="8:8">
      <c r="A11" s="3">
        <v>110.0</v>
      </c>
      <c r="B11" s="3" t="s">
        <v>18</v>
      </c>
    </row>
    <row r="15" spans="8:8">
      <c r="A15" t="s">
        <v>43</v>
      </c>
      <c r="B15">
        <v>999.0</v>
      </c>
    </row>
    <row r="16" spans="8:8">
      <c r="A16" t="s">
        <v>44</v>
      </c>
      <c r="B16" t="str">
        <f>_xlfn.IFERROR(INDEX(B2:B11,MATCH(B15,A2:A11,0)),"employee not found")</f>
        <v>employee not found</v>
      </c>
    </row>
  </sheetData>
  <conditionalFormatting sqref="B1:B11">
    <cfRule type="duplicateValues" priority="2" dxfId="1"/>
  </conditionalFormatting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:N22"/>
  <sheetViews>
    <sheetView workbookViewId="0" zoomScale="54">
      <selection activeCell="F13" sqref="F13"/>
    </sheetView>
  </sheetViews>
  <sheetFormatPr defaultRowHeight="16.25" defaultColWidth="10"/>
  <cols>
    <col min="1" max="1" customWidth="1" width="17.882812" style="0"/>
  </cols>
  <sheetData>
    <row r="1" spans="8:8">
      <c r="A1" s="5" t="s">
        <v>50</v>
      </c>
      <c r="B1" s="6"/>
    </row>
    <row r="2" spans="8:8">
      <c r="A2" s="7" t="s">
        <v>45</v>
      </c>
      <c r="B2" s="8">
        <v>10.0</v>
      </c>
    </row>
    <row r="3" spans="8:8">
      <c r="A3" s="7" t="s">
        <v>46</v>
      </c>
      <c r="B3" s="8">
        <v>57600.0</v>
      </c>
    </row>
    <row r="4" spans="8:8">
      <c r="A4" s="9" t="s">
        <v>47</v>
      </c>
      <c r="B4" s="10">
        <v>75000.0</v>
      </c>
    </row>
    <row r="8" spans="8:8">
      <c r="A8" s="11" t="s">
        <v>31</v>
      </c>
      <c r="B8" s="11"/>
    </row>
    <row r="9" spans="8:8">
      <c r="A9" s="12" t="s">
        <v>2</v>
      </c>
      <c r="B9" s="12" t="s">
        <v>26</v>
      </c>
    </row>
    <row r="10" spans="8:8">
      <c r="A10" s="13" t="s">
        <v>12</v>
      </c>
      <c r="B10" s="13">
        <v>59000.0</v>
      </c>
    </row>
    <row r="11" spans="8:8">
      <c r="A11" s="14" t="s">
        <v>8</v>
      </c>
      <c r="B11" s="14">
        <v>51000.0</v>
      </c>
    </row>
    <row r="12" spans="8:8">
      <c r="A12" s="13" t="s">
        <v>10</v>
      </c>
      <c r="B12" s="13">
        <v>71666.66666666667</v>
      </c>
    </row>
    <row r="13" spans="8:8">
      <c r="A13" s="14" t="s">
        <v>6</v>
      </c>
      <c r="B13" s="14">
        <v>47000.0</v>
      </c>
    </row>
    <row r="14" spans="8:8">
      <c r="A14" s="11" t="s">
        <v>25</v>
      </c>
      <c r="B14" s="11">
        <v>57600.0</v>
      </c>
    </row>
  </sheetData>
  <mergeCells count="1">
    <mergeCell ref="A8:B8"/>
  </mergeCells>
  <conditionalFormatting sqref="A1:B4">
    <cfRule type="duplicateValues" priority="1" dxfId="2"/>
  </conditionalFormatting>
  <pageMargins left="0.7" right="0.7" top="0.75" bottom="0.75" header="0.3" footer="0.3"/>
  <drawing r:id="rId1"/>
</worksheet>
</file>

<file path=xl/worksheets/sheet5.xml><?xml version="1.0" encoding="utf-8"?>
<worksheet xmlns:r="http://schemas.openxmlformats.org/officeDocument/2006/relationships" xmlns="http://schemas.openxmlformats.org/spreadsheetml/2006/main">
  <dimension ref="A1:J8"/>
  <sheetViews>
    <sheetView workbookViewId="0" zoomScale="61">
      <selection activeCell="D2" sqref="D2:E8"/>
    </sheetView>
  </sheetViews>
  <sheetFormatPr defaultRowHeight="16.25" defaultColWidth="10"/>
  <cols>
    <col min="1" max="1" customWidth="1" width="14.5" style="0"/>
    <col min="2" max="2" customWidth="1" bestFit="1" width="12.0625" style="0"/>
    <col min="4" max="4" customWidth="1" bestFit="1" width="10.0" style="0"/>
  </cols>
  <sheetData>
    <row r="1" spans="8:8">
      <c r="A1" s="15" t="s">
        <v>57</v>
      </c>
      <c r="B1" s="15"/>
      <c r="C1" s="15"/>
      <c r="D1" s="15"/>
      <c r="E1" s="15"/>
    </row>
    <row r="2" spans="8:8">
      <c r="A2" s="16" t="s">
        <v>52</v>
      </c>
      <c r="B2" s="16">
        <v>10.0</v>
      </c>
      <c r="D2" s="11" t="s">
        <v>31</v>
      </c>
      <c r="E2" s="11"/>
    </row>
    <row r="3" spans="8:8">
      <c r="A3" s="16" t="s">
        <v>53</v>
      </c>
      <c r="B3" s="16">
        <v>57600.0</v>
      </c>
      <c r="D3" s="12" t="s">
        <v>2</v>
      </c>
      <c r="E3" s="12" t="s">
        <v>26</v>
      </c>
    </row>
    <row r="4" spans="8:8">
      <c r="A4" s="16" t="s">
        <v>54</v>
      </c>
      <c r="B4" s="16">
        <v>75000.0</v>
      </c>
      <c r="D4" s="13" t="s">
        <v>12</v>
      </c>
      <c r="E4" s="13">
        <v>59000.0</v>
      </c>
    </row>
    <row r="5" spans="8:8">
      <c r="A5" s="16" t="s">
        <v>55</v>
      </c>
      <c r="B5" s="16">
        <v>45000.0</v>
      </c>
      <c r="D5" s="14" t="s">
        <v>8</v>
      </c>
      <c r="E5" s="14">
        <v>51000.0</v>
      </c>
    </row>
    <row r="6" spans="8:8">
      <c r="D6" s="13" t="s">
        <v>10</v>
      </c>
      <c r="E6" s="13">
        <v>71666.66666666667</v>
      </c>
    </row>
    <row r="7" spans="8:8">
      <c r="D7" s="14" t="s">
        <v>6</v>
      </c>
      <c r="E7" s="14">
        <v>47000.0</v>
      </c>
    </row>
    <row r="8" spans="8:8">
      <c r="D8" s="11" t="s">
        <v>25</v>
      </c>
      <c r="E8" s="11">
        <v>57600.0</v>
      </c>
    </row>
  </sheetData>
  <mergeCells count="2">
    <mergeCell ref="D2:E2"/>
    <mergeCell ref="A1:E1"/>
  </mergeCells>
  <pageMargins left="0.7" right="0.7" top="0.75" bottom="0.75" header="0.3" footer="0.3"/>
  <drawing r:id="rId1"/>
</worksheet>
</file>

<file path=xl/worksheets/sheet6.xml><?xml version="1.0" encoding="utf-8"?>
<worksheet xmlns:r="http://schemas.openxmlformats.org/officeDocument/2006/relationships" xmlns="http://schemas.openxmlformats.org/spreadsheetml/2006/main">
  <dimension ref="A1:M46"/>
  <sheetViews>
    <sheetView workbookViewId="0" zoomScale="58">
      <selection activeCell="B1" sqref="B1:E1"/>
    </sheetView>
  </sheetViews>
  <sheetFormatPr defaultRowHeight="16.25" defaultColWidth="10"/>
  <cols>
    <col min="2" max="2" customWidth="1" bestFit="1" width="10.796875" style="0"/>
  </cols>
  <sheetData>
    <row r="1" spans="8:8">
      <c r="B1" s="17" t="s">
        <v>75</v>
      </c>
      <c r="C1" s="17"/>
      <c r="D1" s="17"/>
      <c r="E1" s="17"/>
    </row>
    <row r="2" spans="8:8">
      <c r="A2" s="11" t="s">
        <v>27</v>
      </c>
      <c r="B2" s="11"/>
    </row>
    <row r="3" spans="8:8">
      <c r="A3" s="18" t="s">
        <v>2</v>
      </c>
      <c r="B3" s="18" t="s">
        <v>26</v>
      </c>
    </row>
    <row r="4" spans="8:8">
      <c r="A4" s="19" t="s">
        <v>12</v>
      </c>
      <c r="B4" s="19">
        <v>2.0</v>
      </c>
    </row>
    <row r="5" spans="8:8">
      <c r="A5" s="20" t="s">
        <v>8</v>
      </c>
      <c r="B5" s="20">
        <v>2.0</v>
      </c>
    </row>
    <row r="6" spans="8:8">
      <c r="A6" s="19" t="s">
        <v>10</v>
      </c>
      <c r="B6" s="19">
        <v>3.0</v>
      </c>
    </row>
    <row r="7" spans="8:8">
      <c r="A7" s="20" t="s">
        <v>6</v>
      </c>
      <c r="B7" s="20">
        <v>3.0</v>
      </c>
    </row>
    <row r="8" spans="8:8">
      <c r="A8" s="11" t="s">
        <v>25</v>
      </c>
      <c r="B8" s="11">
        <v>10.0</v>
      </c>
    </row>
    <row r="9" spans="8:8">
      <c r="A9" s="21" t="s">
        <v>58</v>
      </c>
      <c r="B9" s="21"/>
      <c r="C9" s="21"/>
      <c r="D9" s="21"/>
      <c r="E9" s="21"/>
      <c r="F9" s="21"/>
      <c r="G9" s="21"/>
    </row>
    <row r="12" spans="8:8">
      <c r="A12" s="11" t="s">
        <v>31</v>
      </c>
      <c r="B12" s="11"/>
    </row>
    <row r="13" spans="8:8">
      <c r="A13" s="12" t="s">
        <v>2</v>
      </c>
      <c r="B13" s="12" t="s">
        <v>26</v>
      </c>
    </row>
    <row r="14" spans="8:8">
      <c r="A14" s="13" t="s">
        <v>12</v>
      </c>
      <c r="B14" s="13">
        <v>59000.0</v>
      </c>
    </row>
    <row r="15" spans="8:8">
      <c r="A15" s="14" t="s">
        <v>8</v>
      </c>
      <c r="B15" s="14">
        <v>51000.0</v>
      </c>
    </row>
    <row r="16" spans="8:8">
      <c r="A16" s="13" t="s">
        <v>10</v>
      </c>
      <c r="B16" s="13">
        <v>71666.66666666667</v>
      </c>
    </row>
    <row r="17" spans="8:8">
      <c r="A17" s="14" t="s">
        <v>6</v>
      </c>
      <c r="B17" s="14">
        <v>47000.0</v>
      </c>
    </row>
    <row r="18" spans="8:8">
      <c r="A18" s="11" t="s">
        <v>25</v>
      </c>
      <c r="B18" s="11">
        <v>57600.0</v>
      </c>
    </row>
    <row r="19" spans="8:8">
      <c r="A19" s="21" t="s">
        <v>59</v>
      </c>
      <c r="B19" s="21"/>
      <c r="C19" s="21"/>
      <c r="D19" s="21"/>
      <c r="E19" s="21"/>
      <c r="F19" s="21"/>
      <c r="G19" s="21"/>
      <c r="H19" s="21"/>
    </row>
    <row r="21" spans="8:8">
      <c r="A21" s="22" t="s">
        <v>1</v>
      </c>
      <c r="B21" s="22" t="s">
        <v>3</v>
      </c>
    </row>
    <row r="22" spans="8:8">
      <c r="A22" s="23" t="s">
        <v>9</v>
      </c>
      <c r="B22" s="24">
        <v>68000.0</v>
      </c>
    </row>
    <row r="23" spans="8:8">
      <c r="A23" s="23" t="s">
        <v>14</v>
      </c>
      <c r="B23" s="24">
        <v>72000.0</v>
      </c>
    </row>
    <row r="24" spans="8:8">
      <c r="A24" s="23" t="s">
        <v>17</v>
      </c>
      <c r="B24" s="24">
        <v>75000.0</v>
      </c>
    </row>
    <row r="26" spans="8:8">
      <c r="A26" s="25" t="s">
        <v>60</v>
      </c>
      <c r="B26" s="25"/>
    </row>
    <row r="27" spans="8:8">
      <c r="A27" s="16" t="s">
        <v>63</v>
      </c>
      <c r="B27" s="16">
        <v>28.0</v>
      </c>
    </row>
    <row r="28" spans="8:8">
      <c r="A28" s="16" t="s">
        <v>61</v>
      </c>
      <c r="B28" s="16">
        <v>48.0</v>
      </c>
    </row>
    <row r="29" spans="8:8">
      <c r="A29" s="16" t="s">
        <v>62</v>
      </c>
      <c r="B29" s="16">
        <v>36.7</v>
      </c>
    </row>
    <row r="31" spans="8:8">
      <c r="A31" s="16" t="s">
        <v>64</v>
      </c>
      <c r="B31" s="16"/>
    </row>
    <row r="32" spans="8:8">
      <c r="A32" s="25" t="s">
        <v>39</v>
      </c>
      <c r="B32" s="25" t="s">
        <v>26</v>
      </c>
    </row>
    <row r="33" spans="8:8">
      <c r="A33" s="16" t="s">
        <v>13</v>
      </c>
      <c r="B33" s="16">
        <v>3.0</v>
      </c>
    </row>
    <row r="34" spans="8:8">
      <c r="A34" s="16" t="s">
        <v>37</v>
      </c>
      <c r="B34" s="16">
        <v>2.0</v>
      </c>
    </row>
    <row r="35" spans="8:8">
      <c r="A35" s="16" t="s">
        <v>38</v>
      </c>
      <c r="B35" s="16">
        <v>3.0</v>
      </c>
    </row>
    <row r="36" spans="8:8">
      <c r="A36" s="16" t="s">
        <v>11</v>
      </c>
      <c r="B36" s="16">
        <v>2.0</v>
      </c>
    </row>
    <row r="37" spans="8:8">
      <c r="A37" s="16" t="s">
        <v>66</v>
      </c>
      <c r="B37" s="16">
        <v>10.0</v>
      </c>
    </row>
    <row r="38" spans="8:8">
      <c r="A38" s="21" t="s">
        <v>67</v>
      </c>
      <c r="B38" s="21"/>
      <c r="C38" s="21"/>
      <c r="D38" s="21"/>
      <c r="E38" s="21"/>
      <c r="F38" s="21"/>
      <c r="G38" s="21"/>
      <c r="H38" s="21"/>
    </row>
    <row r="41" spans="8:8">
      <c r="A41" s="15" t="s">
        <v>68</v>
      </c>
      <c r="B41" s="15"/>
      <c r="C41" s="15"/>
    </row>
    <row r="42" spans="8:8">
      <c r="A42" s="21" t="s">
        <v>69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spans="8:8">
      <c r="A43" s="21" t="s">
        <v>70</v>
      </c>
      <c r="B43" s="21"/>
      <c r="C43" s="21"/>
      <c r="D43" s="21"/>
      <c r="E43" s="21"/>
      <c r="F43" s="21"/>
      <c r="G43" s="21"/>
      <c r="H43" s="21"/>
      <c r="I43" s="21"/>
    </row>
    <row r="44" spans="8:8">
      <c r="A44" s="21" t="s">
        <v>71</v>
      </c>
      <c r="B44" s="21"/>
      <c r="C44" s="21"/>
      <c r="D44" s="21"/>
      <c r="E44" s="21"/>
      <c r="F44" s="21"/>
      <c r="G44" s="21"/>
      <c r="H44" s="21"/>
      <c r="I44" s="21"/>
    </row>
    <row r="45" spans="8:8">
      <c r="A45" s="15" t="s">
        <v>72</v>
      </c>
      <c r="B45" s="15"/>
      <c r="C45" s="15"/>
    </row>
    <row r="46" spans="8:8">
      <c r="A46" s="21" t="s">
        <v>73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</row>
  </sheetData>
  <mergeCells count="14">
    <mergeCell ref="A38:H38"/>
    <mergeCell ref="A2:B2"/>
    <mergeCell ref="A45:C45"/>
    <mergeCell ref="A12:B12"/>
    <mergeCell ref="A43:I43"/>
    <mergeCell ref="A42:K42"/>
    <mergeCell ref="A46:K46"/>
    <mergeCell ref="A44:I44"/>
    <mergeCell ref="B1:E1"/>
    <mergeCell ref="A41:C41"/>
    <mergeCell ref="A19:H19"/>
    <mergeCell ref="A31:B31"/>
    <mergeCell ref="A26:B26"/>
    <mergeCell ref="A9:G9"/>
  </mergeCells>
  <conditionalFormatting sqref="A21 A22 A23 A24">
    <cfRule type="duplicateValues" priority="3" dxfId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ScaleCrop>0</ScaleCrop>
  <LinksUpToDate>0</LinksUpToDate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2026-07-29T06:29:13Z</dcterms:created>
  <dcterms:modified xsi:type="dcterms:W3CDTF">2026-08-06T13:55:15Z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e8c288a745874ebaa31d487e87c2c418</vt:lpwstr>
  </property>
</Properties>
</file>